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nerpearson/Downloads/"/>
    </mc:Choice>
  </mc:AlternateContent>
  <xr:revisionPtr revIDLastSave="0" documentId="8_{954AA999-677A-2F44-94D7-04ACCE2FD5FB}" xr6:coauthVersionLast="47" xr6:coauthVersionMax="47" xr10:uidLastSave="{00000000-0000-0000-0000-000000000000}"/>
  <bookViews>
    <workbookView xWindow="80" yWindow="580" windowWidth="25440" windowHeight="14820" xr2:uid="{F4E4D53F-18BF-394B-9979-68288622C3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</calcChain>
</file>

<file path=xl/sharedStrings.xml><?xml version="1.0" encoding="utf-8"?>
<sst xmlns="http://schemas.openxmlformats.org/spreadsheetml/2006/main" count="120" uniqueCount="118">
  <si>
    <t>Disease</t>
  </si>
  <si>
    <t>Disorder Type</t>
  </si>
  <si>
    <t>Etiology</t>
  </si>
  <si>
    <t>Mechanism</t>
  </si>
  <si>
    <t>Pathophysiology</t>
  </si>
  <si>
    <t>Labs (Trend Arrows; N=Normal)</t>
  </si>
  <si>
    <t>Clinical Presentation</t>
  </si>
  <si>
    <t>Peripheral Smear / Cellular Evidence</t>
  </si>
  <si>
    <t>Iron Deficiency Anemia (IDA)</t>
  </si>
  <si>
    <t>Microcytic / Hypoproliferative</t>
  </si>
  <si>
    <t>Chronic blood loss (GI, menses), malabsorption, or poor diet</t>
  </si>
  <si>
    <t>Decreased iron availability for heme synthesis</t>
  </si>
  <si>
    <t>Exhausted iron stores lead to impaired hemoglobin production and small, pale RBCs</t>
  </si>
  <si>
    <t>Sickle Cell Disease (SCD)</t>
  </si>
  <si>
    <t>Hemoglobinopathy / Hemolytic</t>
  </si>
  <si>
    <t>Autosomal recessive inheritance (HbSS)</t>
  </si>
  <si>
    <t>HbS polymerization upon deoxygenation</t>
  </si>
  <si>
    <t>Rigid RBCs cause vaso-occlusion (ischemia) and are fragile, causing hemolysis</t>
  </si>
  <si>
    <t>Malaria</t>
  </si>
  <si>
    <t>Infectious / Hemolytic</t>
  </si>
  <si>
    <t>Plasmodium parasites (mosquito-borne)</t>
  </si>
  <si>
    <t>Intra-erythrocytic parasite replication</t>
  </si>
  <si>
    <t>Parasites consume hemoglobin; RBC rupture causes cyclical fever and anemia</t>
  </si>
  <si>
    <t>Anemia of Chronic Disease (ACD)</t>
  </si>
  <si>
    <t>Normocytic or Microcytic / Hypoproliferative</t>
  </si>
  <si>
    <t>Chronic inflammation, infection, or malignancy</t>
  </si>
  <si>
    <t>Hepcidin-driven iron sequestration</t>
  </si>
  <si>
    <t>Hepcidin degrades ferroportin, trapping iron in macrophages; iron is functionally unavailable for erythropoiesis</t>
  </si>
  <si>
    <t>Thalassemia Trait (Alpha/Beta)</t>
  </si>
  <si>
    <t>Inherited genetic deletions or mutations</t>
  </si>
  <si>
    <t>Imbalanced globin chain synthesis</t>
  </si>
  <si>
    <t>Defective hemoglobin formation leads to ineffective erythropoiesis and mild hemolysis</t>
  </si>
  <si>
    <t>Vitamin B12 Deficiency</t>
  </si>
  <si>
    <t>Macrocytic / Megaloblastic</t>
  </si>
  <si>
    <t>Pernicious anemia (autoimmune), gastrectomy, or vegan diet</t>
  </si>
  <si>
    <t>Defective DNA maturation due to impaired synthesis</t>
  </si>
  <si>
    <t>Nuclear-cytoplasmic asynchrony causes precursors to die in the marrow (ineffective erythropoiesis)</t>
  </si>
  <si>
    <t>Aplastic Anemia</t>
  </si>
  <si>
    <t>Normocytic / Hypoproliferative</t>
  </si>
  <si>
    <t>Autoimmune (70%), drugs (benzene), or viral</t>
  </si>
  <si>
    <t>T-lymphocyte-mediated suppression of stem cells</t>
  </si>
  <si>
    <t>Global marrow failure leads to depletion of all hematopoietic lineages</t>
  </si>
  <si>
    <t>Hereditary Spherocytosis (HS)</t>
  </si>
  <si>
    <t>RBC Membrane Defect / Hemolytic</t>
  </si>
  <si>
    <t>Autosomal dominant defect (Spectrin/Ankyrin)</t>
  </si>
  <si>
    <t>Cytoskeletal instability leads to membrane loss</t>
  </si>
  <si>
    <t>Splenic macrophages remove “blebs” of membrane; RBCs become spherical/rigid and are trapped in the spleen</t>
  </si>
  <si>
    <t>Glucose-6-Phosphate Dehydrogenase (G6PD) Deficiency</t>
  </si>
  <si>
    <t>Enzyme Defect / Hemolytic</t>
  </si>
  <si>
    <t>X-linked recessive inheritance</t>
  </si>
  <si>
    <t>Failure to neutralize oxidative stress (low NADPH)</t>
  </si>
  <si>
    <t>Hemoglobin denatures and precipitates (Heinz bodies) during oxidative stress, leading to hemolysis</t>
  </si>
  <si>
    <t>Warm Autoimmune Hemolytic Anemia (AIHA)</t>
  </si>
  <si>
    <t>Immune / Hemolytic</t>
  </si>
  <si>
    <t>IgG autoantibodies (idiopathic, SLE, CLL)</t>
  </si>
  <si>
    <t>RBC opsonization by IgG</t>
  </si>
  <si>
    <t>Extravascular destruction of RBCs by splenic macrophages</t>
  </si>
  <si>
    <t>Paroxysmal Nocturnal Hemoglobinuria (PNH)</t>
  </si>
  <si>
    <t>Acquired Membrane Defect / Hemolytic</t>
  </si>
  <si>
    <t>Somatic PIGA gene mutation</t>
  </si>
  <si>
    <t>Loss of complement inhibitors (CD55/CD59)</t>
  </si>
  <si>
    <t>Uncontrolled intravascular hemolysis via the membrane attack complex</t>
  </si>
  <si>
    <t>Disseminated Intravascular Coagulation (DIC)</t>
  </si>
  <si>
    <t>Thrombotic / Consumptive Coagulopathy</t>
  </si>
  <si>
    <t>Secondary to sepsis, trauma, or cancer</t>
  </si>
  <si>
    <t>Systemic activation of coagulation</t>
  </si>
  <si>
    <t>Widespread microthrombi lead to organ damage; consumption of factors/platelets causes bleeding</t>
  </si>
  <si>
    <t>Thrombotic Thrombocytopenic Purpura (TTP)</t>
  </si>
  <si>
    <t>Thrombotic Microangiopathy</t>
  </si>
  <si>
    <t>ADAMTS13 enzyme deficiency</t>
  </si>
  <si>
    <t>Inadequate vWF multimer cleavage</t>
  </si>
  <si>
    <t>Ultra-large vWF multimers cause spontaneous platelet-rich microthrombi in small vessels</t>
  </si>
  <si>
    <t>von Willebrand Disease (vWD)</t>
  </si>
  <si>
    <t>Primary Hemostasis</t>
  </si>
  <si>
    <t>Inherited defect in vWF (Type 1, 2, 3)</t>
  </si>
  <si>
    <t>Defective platelet adhesion</t>
  </si>
  <si>
    <t>Reduced/dysfunctional vWF cannot bridge platelets to collagen; Factor VIII is destabilized</t>
  </si>
  <si>
    <t>• Bleeding Time ↑• PFA-100 ↑• aPTT N or ↑• Plt N</t>
  </si>
  <si>
    <t>• Mucocutaneous bleeding• Menorrhagia• Bleeding after dental work</t>
  </si>
  <si>
    <t>• Normal</t>
  </si>
  <si>
    <t xml:space="preserve">
• Hb ↓
• MCV ↓
• Ferritin ↓
• TIBC ↑
• sTfR ↑</t>
  </si>
  <si>
    <t xml:space="preserve">
• Fatigue
• Pallor
• Pica (ice/dirt craving)
• Koilonychia (spoon nails)</t>
  </si>
  <si>
    <t xml:space="preserve">
• Microcytic/Hypochromic (“onion rings”)
• Elliptocytes (“pencil cells”)</t>
  </si>
  <si>
    <t xml:space="preserve">
• Hb ↓
• Retic ↑
• Indirect Bili ↑
• LDH ↑
• HbS ↑ (on electrophoresis)</t>
  </si>
  <si>
    <t xml:space="preserve">
• Pain crises
• Acute Chest Syndrome
• Dactylitis
• Autosplenectomy</t>
  </si>
  <si>
    <t xml:space="preserve">
• Sickle cells
• Howell-Jolly bodies (functional asplenia)</t>
  </si>
  <si>
    <t xml:space="preserve">
• Hb ↓
• Parasitemia ↑ (on smear)
• Platelets ↓</t>
  </si>
  <si>
    <t xml:space="preserve">
• Cyclical fevers/chills
• Splenomegaly
• Cerebral malaria (P. falciparum)</t>
  </si>
  <si>
    <t xml:space="preserve">
• Ring forms
• Banana-shaped gametocytes (P. falciparum)
• Schüffner dots (P. vivax)</t>
  </si>
  <si>
    <t xml:space="preserve">
• Hb ↓
• MCV N or ↓
• Ferritin N or ↑
• TIBC ↓ or N</t>
  </si>
  <si>
    <t xml:space="preserve">
• Chronic illness history
• Fatigue</t>
  </si>
  <si>
    <t xml:space="preserve">
• Usually Normocytic/Normochromic</t>
  </si>
  <si>
    <t xml:space="preserve">
• Hb ↓
• MCV ↓↓ (disproportionate)
• Ferritin N
• HbA2 ↑ (in Beta trait)</t>
  </si>
  <si>
    <t xml:space="preserve">
• Asymptomatic
• Lifelong microcytosis</t>
  </si>
  <si>
    <t xml:space="preserve">
• Target cells
• Basophilic stippling</t>
  </si>
  <si>
    <t xml:space="preserve">
• Hb ↓
• MCV ↑
• Retic ↓
• MMA ↑
• Homocysteine ↑</t>
  </si>
  <si>
    <t xml:space="preserve">
• Neurological symptoms (ataxia, paresthesia)
• Glossitis
• Jaundice</t>
  </si>
  <si>
    <t xml:space="preserve">
• Macro-ovalocytes
• Hypersegmented Neutrophils</t>
  </si>
  <si>
    <t xml:space="preserve">
• Pancytopenia (Hb ↓, WBC ↓, Plt ↓)
• Retic ↓↓
• MCV N</t>
  </si>
  <si>
    <t xml:space="preserve">
• Fatigue
• Infections
• Petechiae/Bruising</t>
  </si>
  <si>
    <t xml:space="preserve">
• Hypocellular/Fatty Marrow</t>
  </si>
  <si>
    <t xml:space="preserve">
• Hb ↓
• MCHC ↑
• Coombs Negative
• Osmotic Fragility ↑</t>
  </si>
  <si>
    <t xml:space="preserve">
• Splenomegaly
• Pigment gallstones
• Jaundice</t>
  </si>
  <si>
    <t xml:space="preserve">
• Spherocytes (small, lack central pallor)</t>
  </si>
  <si>
    <t xml:space="preserve">
• Hb ↓ (episodic)
• Retic ↑
• G6PD Assay ↓ (check after attack)</t>
  </si>
  <si>
    <t xml:space="preserve">
• Episodic hemolysis triggered by fava beans
• Sulfa drugs
• Infection</t>
  </si>
  <si>
    <t xml:space="preserve">
• Bite cells
• Heinz bodies (on supravital stain)</t>
  </si>
  <si>
    <t xml:space="preserve">
• Hb ↓
• Coombs (DAT) Positive (IgG)
• Retic ↑</t>
  </si>
  <si>
    <t xml:space="preserve">
• Pallor
• Splenomegaly</t>
  </si>
  <si>
    <t xml:space="preserve">
• Spherocytes</t>
  </si>
  <si>
    <t xml:space="preserve">
• Flow Cytometry: CD55/CD59 ↓
• Hb ↓
• LDH ↑↑</t>
  </si>
  <si>
    <t xml:space="preserve">
• Triad: Hemolysis + Pancytopenia + Thrombosis</t>
  </si>
  <si>
    <t xml:space="preserve">
• Often unremarkable
• Possible evidence of pancytopenia</t>
  </si>
  <si>
    <t xml:space="preserve">
• PT/aPTT ↑
• Fibrinogen ↓
• D-dimer ↑↑
• Platelets ↓</t>
  </si>
  <si>
    <t xml:space="preserve">
• Simultaneous bleeding and clotting
• Oozing from IV sites
• Organ failure</t>
  </si>
  <si>
    <t xml:space="preserve">
• Schistocytes</t>
  </si>
  <si>
    <t xml:space="preserve">
• Platelets ↓↓
• PT/aPTT N
• ADAMTS13 Activity ↓</t>
  </si>
  <si>
    <t xml:space="preserve">
• Pentad: Fever
• Neuro sx
• Renal failure
• Anemia
• Thrombocytopenia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</si>
</sst>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0208-C305-5D40-9175-E5763FBEC008}">
  <dimension ref="A1:J15"/>
  <sheetViews>
    <sheetView tabSelected="1" workbookViewId="0">
      <selection activeCell="C3" sqref="C3"/>
    </sheetView>
  </sheetViews>
  <sheetFormatPr baseColWidth="10" defaultRowHeight="16" x14ac:dyDescent="0.2"/>
  <cols>
    <col min="1" max="8" width="25.83203125" style="1" customWidth="1"/>
  </cols>
  <sheetData>
    <row r="1" spans="1:10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tr">
        <f>IF(LEFT(I1,1)="•",SUBSTITUTE(I1,"•",CHAR(10)&amp;"•"),CHAR(10)&amp;SUBSTITUTE(I1,"•",CHAR(10)&amp;"•"))</f>
        <v xml:space="preserve">
</v>
      </c>
    </row>
    <row r="2" spans="1:10" ht="102" x14ac:dyDescent="0.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80</v>
      </c>
      <c r="G2" s="4" t="s">
        <v>81</v>
      </c>
      <c r="H2" s="4" t="s">
        <v>82</v>
      </c>
      <c r="J2" s="1" t="str">
        <f>IF(LEFT(I2,1)="•",SUBSTITUTE(I2,"•",CHAR(10)&amp;"•"),CHAR(10)&amp;SUBSTITUTE(I2,"•",CHAR(10)&amp;"•"))</f>
        <v xml:space="preserve">
</v>
      </c>
    </row>
    <row r="3" spans="1:10" ht="102" x14ac:dyDescent="0.2">
      <c r="A3" s="3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83</v>
      </c>
      <c r="G3" s="4" t="s">
        <v>84</v>
      </c>
      <c r="H3" s="4" t="s">
        <v>85</v>
      </c>
      <c r="J3" s="1" t="str">
        <f>IF(LEFT(I3,1)="•",SUBSTITUTE(I3,"•",CHAR(10)&amp;"•"),CHAR(10)&amp;SUBSTITUTE(I3,"•",CHAR(10)&amp;"•"))</f>
        <v xml:space="preserve">
</v>
      </c>
    </row>
    <row r="4" spans="1:10" ht="85" x14ac:dyDescent="0.2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86</v>
      </c>
      <c r="G4" s="4" t="s">
        <v>87</v>
      </c>
      <c r="H4" s="4" t="s">
        <v>88</v>
      </c>
      <c r="J4" s="1" t="str">
        <f>IF(LEFT(I4,1)="•",SUBSTITUTE(I4,"•",CHAR(10)&amp;"•"),CHAR(10)&amp;SUBSTITUTE(I4,"•",CHAR(10)&amp;"•"))</f>
        <v xml:space="preserve">
</v>
      </c>
    </row>
    <row r="5" spans="1:10" ht="85" x14ac:dyDescent="0.2">
      <c r="A5" s="3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89</v>
      </c>
      <c r="G5" s="4" t="s">
        <v>90</v>
      </c>
      <c r="H5" s="4" t="s">
        <v>91</v>
      </c>
      <c r="J5" s="1" t="str">
        <f>IF(LEFT(I5,1)="•",SUBSTITUTE(I5,"•",CHAR(10)&amp;"•"),CHAR(10)&amp;SUBSTITUTE(I5,"•",CHAR(10)&amp;"•"))</f>
        <v xml:space="preserve">
</v>
      </c>
    </row>
    <row r="6" spans="1:10" ht="85" x14ac:dyDescent="0.2">
      <c r="A6" s="3" t="s">
        <v>28</v>
      </c>
      <c r="B6" s="4" t="s">
        <v>9</v>
      </c>
      <c r="C6" s="4" t="s">
        <v>29</v>
      </c>
      <c r="D6" s="4" t="s">
        <v>30</v>
      </c>
      <c r="E6" s="4" t="s">
        <v>31</v>
      </c>
      <c r="F6" s="4" t="s">
        <v>92</v>
      </c>
      <c r="G6" s="4" t="s">
        <v>93</v>
      </c>
      <c r="H6" s="4" t="s">
        <v>94</v>
      </c>
      <c r="J6" s="1" t="str">
        <f>IF(LEFT(I6,1)="•",SUBSTITUTE(I6,"•",CHAR(10)&amp;"•"),CHAR(10)&amp;SUBSTITUTE(I6,"•",CHAR(10)&amp;"•"))</f>
        <v xml:space="preserve">
</v>
      </c>
    </row>
    <row r="7" spans="1:10" ht="102" x14ac:dyDescent="0.2">
      <c r="A7" s="3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95</v>
      </c>
      <c r="G7" s="4" t="s">
        <v>96</v>
      </c>
      <c r="H7" s="4" t="s">
        <v>97</v>
      </c>
      <c r="J7" s="1" t="str">
        <f>IF(LEFT(I7,1)="•",SUBSTITUTE(I7,"•",CHAR(10)&amp;"•"),CHAR(10)&amp;SUBSTITUTE(I7,"•",CHAR(10)&amp;"•"))</f>
        <v xml:space="preserve">
</v>
      </c>
    </row>
    <row r="8" spans="1:10" ht="85" x14ac:dyDescent="0.2">
      <c r="A8" s="3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98</v>
      </c>
      <c r="G8" s="4" t="s">
        <v>99</v>
      </c>
      <c r="H8" s="4" t="s">
        <v>100</v>
      </c>
      <c r="J8" s="1" t="str">
        <f>IF(LEFT(I8,1)="•",SUBSTITUTE(I8,"•",CHAR(10)&amp;"•"),CHAR(10)&amp;SUBSTITUTE(I8,"•",CHAR(10)&amp;"•"))</f>
        <v xml:space="preserve">
</v>
      </c>
    </row>
    <row r="9" spans="1:10" ht="85" x14ac:dyDescent="0.2">
      <c r="A9" s="3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101</v>
      </c>
      <c r="G9" s="4" t="s">
        <v>102</v>
      </c>
      <c r="H9" s="4" t="s">
        <v>103</v>
      </c>
      <c r="J9" s="1" t="str">
        <f>IF(LEFT(I9,1)="•",SUBSTITUTE(I9,"•",CHAR(10)&amp;"•"),CHAR(10)&amp;SUBSTITUTE(I9,"•",CHAR(10)&amp;"•"))</f>
        <v xml:space="preserve">
</v>
      </c>
    </row>
    <row r="10" spans="1:10" ht="85" x14ac:dyDescent="0.2">
      <c r="A10" s="3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104</v>
      </c>
      <c r="G10" s="4" t="s">
        <v>105</v>
      </c>
      <c r="H10" s="4" t="s">
        <v>106</v>
      </c>
      <c r="J10" s="1" t="str">
        <f>IF(LEFT(I10,1)="•",SUBSTITUTE(I10,"•",CHAR(10)&amp;"•"),CHAR(10)&amp;SUBSTITUTE(I10,"•",CHAR(10)&amp;"•"))</f>
        <v xml:space="preserve">
</v>
      </c>
    </row>
    <row r="11" spans="1:10" ht="68" x14ac:dyDescent="0.2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107</v>
      </c>
      <c r="G11" s="4" t="s">
        <v>108</v>
      </c>
      <c r="H11" s="4" t="s">
        <v>109</v>
      </c>
      <c r="J11" s="1" t="str">
        <f>IF(LEFT(I11,1)="•",SUBSTITUTE(I11,"•",CHAR(10)&amp;"•"),CHAR(10)&amp;SUBSTITUTE(I11,"•",CHAR(10)&amp;"•"))</f>
        <v xml:space="preserve">
</v>
      </c>
    </row>
    <row r="12" spans="1:10" ht="85" x14ac:dyDescent="0.2">
      <c r="A12" s="3" t="s">
        <v>57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110</v>
      </c>
      <c r="G12" s="4" t="s">
        <v>111</v>
      </c>
      <c r="H12" s="4" t="s">
        <v>112</v>
      </c>
      <c r="J12" s="1" t="str">
        <f t="shared" ref="J12:J14" si="0">IF(LEFT(I12,1)="•",SUBSTITUTE(I12,"•",CHAR(10)&amp;"•"),CHAR(10)&amp;SUBSTITUTE(I12,"•",CHAR(10)&amp;"•"))</f>
        <v xml:space="preserve">
</v>
      </c>
    </row>
    <row r="13" spans="1:10" ht="85" x14ac:dyDescent="0.2">
      <c r="A13" s="3" t="s">
        <v>62</v>
      </c>
      <c r="B13" s="4" t="s">
        <v>63</v>
      </c>
      <c r="C13" s="4" t="s">
        <v>64</v>
      </c>
      <c r="D13" s="4" t="s">
        <v>65</v>
      </c>
      <c r="E13" s="4" t="s">
        <v>66</v>
      </c>
      <c r="F13" s="4" t="s">
        <v>113</v>
      </c>
      <c r="G13" s="4" t="s">
        <v>114</v>
      </c>
      <c r="H13" s="4" t="s">
        <v>115</v>
      </c>
      <c r="J13" s="1" t="str">
        <f t="shared" si="0"/>
        <v xml:space="preserve">
</v>
      </c>
    </row>
    <row r="14" spans="1:10" ht="102" x14ac:dyDescent="0.2">
      <c r="A14" s="3" t="s">
        <v>67</v>
      </c>
      <c r="B14" s="4" t="s">
        <v>68</v>
      </c>
      <c r="C14" s="4" t="s">
        <v>69</v>
      </c>
      <c r="D14" s="4" t="s">
        <v>70</v>
      </c>
      <c r="E14" s="4" t="s">
        <v>71</v>
      </c>
      <c r="F14" s="4" t="s">
        <v>116</v>
      </c>
      <c r="G14" s="4" t="s">
        <v>117</v>
      </c>
      <c r="H14" s="4" t="s">
        <v>115</v>
      </c>
      <c r="J14" s="1" t="str">
        <f t="shared" si="0"/>
        <v xml:space="preserve">
</v>
      </c>
    </row>
    <row r="15" spans="1:10" ht="68" x14ac:dyDescent="0.2">
      <c r="A15" s="3" t="s">
        <v>72</v>
      </c>
      <c r="B15" s="4" t="s">
        <v>73</v>
      </c>
      <c r="C15" s="4" t="s">
        <v>74</v>
      </c>
      <c r="D15" s="4" t="s">
        <v>75</v>
      </c>
      <c r="E15" s="4" t="s">
        <v>76</v>
      </c>
      <c r="F15" s="4" t="s">
        <v>77</v>
      </c>
      <c r="G15" s="4" t="s">
        <v>78</v>
      </c>
      <c r="H15" s="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Pearson</dc:creator>
  <cp:lastModifiedBy>Tanner Pearson</cp:lastModifiedBy>
  <dcterms:created xsi:type="dcterms:W3CDTF">2026-01-14T03:34:00Z</dcterms:created>
  <dcterms:modified xsi:type="dcterms:W3CDTF">2026-01-14T03:38:01Z</dcterms:modified>
</cp:coreProperties>
</file>